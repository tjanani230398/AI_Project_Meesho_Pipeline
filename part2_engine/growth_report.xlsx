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M Growth" sheetId="1" state="visible" r:id="rId3"/>
    <sheet name="Test 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<sst xmlns="http://schemas.openxmlformats.org/spreadsheetml/2006/main" count="79" uniqueCount="49">
  <si>
    <t xml:space="preserve">Month-on-Month Revenue Growth by Category</t>
  </si>
  <si>
    <t xml:space="preserve">Flag threshold (±%)</t>
  </si>
  <si>
    <t xml:space="preserve">Input: change to re-evaluate all rows. Source: threshold specified by user (8.0).</t>
  </si>
  <si>
    <t xml:space="preserve">Category</t>
  </si>
  <si>
    <t xml:space="preserve">From</t>
  </si>
  <si>
    <t xml:space="preserve">To</t>
  </si>
  <si>
    <t xml:space="preserve">Previous Revenue (₹)</t>
  </si>
  <si>
    <t xml:space="preserve">Current Revenue (₹)</t>
  </si>
  <si>
    <t xml:space="preserve">MoM Growth (%)</t>
  </si>
  <si>
    <t xml:space="preserve">Status</t>
  </si>
  <si>
    <t xml:space="preserve">Ethnic Wear</t>
  </si>
  <si>
    <t xml:space="preserve">April</t>
  </si>
  <si>
    <t xml:space="preserve">May</t>
  </si>
  <si>
    <t xml:space="preserve">June</t>
  </si>
  <si>
    <t xml:space="preserve">Western Wear</t>
  </si>
  <si>
    <t xml:space="preserve">Kids Wear</t>
  </si>
  <si>
    <t xml:space="preserve">Home &amp; Kitchen</t>
  </si>
  <si>
    <t xml:space="preserve">Beauty &amp; Personal Care</t>
  </si>
  <si>
    <t xml:space="preserve">Summary</t>
  </si>
  <si>
    <t xml:space="preserve">Flagged</t>
  </si>
  <si>
    <t xml:space="preserve">Not flagged</t>
  </si>
  <si>
    <t xml:space="preserve">Escalate (exact boundary)</t>
  </si>
  <si>
    <t xml:space="preserve">Legend: red = flagged (|MoM| &gt; threshold); amber = exact boundary, held for human review; no fill = not flagged.</t>
  </si>
  <si>
    <t xml:space="preserve">Blue = inputs (revenue from part1_sql/output/monthly_category_revenue.csv, all order statuses); black = formulas.</t>
  </si>
  <si>
    <t xml:space="preserve">Formulas mirror growth_engine.mom_growth / is_flagged; results cross-checked against the Python functions.</t>
  </si>
  <si>
    <t xml:space="preserve">Unit test run: test_growth_engine.py</t>
  </si>
  <si>
    <t xml:space="preserve">9 tests run, 0 failed</t>
  </si>
  <si>
    <t xml:space="preserve">Test</t>
  </si>
  <si>
    <t xml:space="preserve">Scenario</t>
  </si>
  <si>
    <t xml:space="preserve">Result</t>
  </si>
  <si>
    <t xml:space="preserve">test_ethnic_wear_april_to_may_is_flagged</t>
  </si>
  <si>
    <t xml:space="preserve">104,520.77 → 185,107.61 gives 77.1, flagged</t>
  </si>
  <si>
    <t xml:space="preserve">PASS</t>
  </si>
  <si>
    <t xml:space="preserve">test_beauty_may_to_june_is_not_flagged</t>
  </si>
  <si>
    <t xml:space="preserve">35,542.11 → 37,559.07 gives 5.67, not_flagged</t>
  </si>
  <si>
    <t xml:space="preserve">test_exact_boundary_is_escalated_not_decided</t>
  </si>
  <si>
    <t xml:space="preserve">100,000 → 108,000 gives 8.0, escalate_exact_boundary</t>
  </si>
  <si>
    <t xml:space="preserve">test_corrupted_feed_reports_three_errors_in_order</t>
  </si>
  <si>
    <t xml:space="preserve">corrupted_feed.csv → (False, 3 errors in order)</t>
  </si>
  <si>
    <t xml:space="preserve">test_clean_feed_passes</t>
  </si>
  <si>
    <t xml:space="preserve">monthly_category_revenue.csv → (True, [])</t>
  </si>
  <si>
    <t xml:space="preserve">test_decline_beyond_threshold_is_flagged</t>
  </si>
  <si>
    <t xml:space="preserve">-20% decline is flagged</t>
  </si>
  <si>
    <t xml:space="preserve">test_negative_exact_boundary_is_escalated</t>
  </si>
  <si>
    <t xml:space="preserve">-8% decline is escalated</t>
  </si>
  <si>
    <t xml:space="preserve">test_custom_threshold_is_respected</t>
  </si>
  <si>
    <t xml:space="preserve">5.67 with threshold 5.0 is flagged</t>
  </si>
  <si>
    <t xml:space="preserve">test_non_numeric_revenue_is_reported</t>
  </si>
  <si>
    <t xml:space="preserve">'abc' revenue reported as not numeric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</si>
</sst>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5" min="4" style="0" width="22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8</v>
      </c>
      <c r="C2" s="4" t="s">
        <v>2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customFormat="false" ht="15" hidden="false" customHeight="false" outlineLevel="0" collapsed="false">
      <c r="A5" s="6" t="s">
        <v>10</v>
      </c>
      <c r="B5" s="6" t="s">
        <v>11</v>
      </c>
      <c r="C5" s="6" t="s">
        <v>12</v>
      </c>
      <c r="D5" s="7" t="n">
        <v>104520.77</v>
      </c>
      <c r="E5" s="7" t="n">
        <v>185107.61</v>
      </c>
      <c r="F5" s="8" t="n">
        <f aca="false">ROUND((E5-D5)/D5*100,2)</f>
        <v>77.1</v>
      </c>
      <c r="G5" s="9" t="str">
        <f aca="false">IF(ABS(F5)&gt;$B$2,"flagged",IF(ABS(F5)&lt;$B$2,"not_flagged","escalate_exact_boundary"))</f>
        <v>flagged</v>
      </c>
    </row>
    <row r="6" customFormat="false" ht="15" hidden="false" customHeight="false" outlineLevel="0" collapsed="false">
      <c r="A6" s="6" t="s">
        <v>10</v>
      </c>
      <c r="B6" s="6" t="s">
        <v>12</v>
      </c>
      <c r="C6" s="6" t="s">
        <v>13</v>
      </c>
      <c r="D6" s="7" t="n">
        <v>185107.61</v>
      </c>
      <c r="E6" s="7" t="n">
        <v>76371.53</v>
      </c>
      <c r="F6" s="8" t="n">
        <f aca="false">ROUND((E6-D6)/D6*100,2)</f>
        <v>-58.74</v>
      </c>
      <c r="G6" s="9" t="str">
        <f aca="false">IF(ABS(F6)&gt;$B$2,"flagged",IF(ABS(F6)&lt;$B$2,"not_flagged","escalate_exact_boundary"))</f>
        <v>flagged</v>
      </c>
    </row>
    <row r="7" customFormat="false" ht="15" hidden="false" customHeight="false" outlineLevel="0" collapsed="false">
      <c r="A7" s="6" t="s">
        <v>14</v>
      </c>
      <c r="B7" s="6" t="s">
        <v>11</v>
      </c>
      <c r="C7" s="6" t="s">
        <v>12</v>
      </c>
      <c r="D7" s="7" t="n">
        <v>113866.15</v>
      </c>
      <c r="E7" s="7" t="n">
        <v>86998.18</v>
      </c>
      <c r="F7" s="8" t="n">
        <f aca="false">ROUND((E7-D7)/D7*100,2)</f>
        <v>-23.6</v>
      </c>
      <c r="G7" s="9" t="str">
        <f aca="false">IF(ABS(F7)&gt;$B$2,"flagged",IF(ABS(F7)&lt;$B$2,"not_flagged","escalate_exact_boundary"))</f>
        <v>flagged</v>
      </c>
    </row>
    <row r="8" customFormat="false" ht="15" hidden="false" customHeight="false" outlineLevel="0" collapsed="false">
      <c r="A8" s="6" t="s">
        <v>14</v>
      </c>
      <c r="B8" s="6" t="s">
        <v>12</v>
      </c>
      <c r="C8" s="6" t="s">
        <v>13</v>
      </c>
      <c r="D8" s="7" t="n">
        <v>86998.18</v>
      </c>
      <c r="E8" s="7" t="n">
        <v>97415.64</v>
      </c>
      <c r="F8" s="8" t="n">
        <f aca="false">ROUND((E8-D8)/D8*100,2)</f>
        <v>11.97</v>
      </c>
      <c r="G8" s="9" t="str">
        <f aca="false">IF(ABS(F8)&gt;$B$2,"flagged",IF(ABS(F8)&lt;$B$2,"not_flagged","escalate_exact_boundary"))</f>
        <v>flagged</v>
      </c>
    </row>
    <row r="9" customFormat="false" ht="15" hidden="false" customHeight="false" outlineLevel="0" collapsed="false">
      <c r="A9" s="6" t="s">
        <v>15</v>
      </c>
      <c r="B9" s="6" t="s">
        <v>11</v>
      </c>
      <c r="C9" s="6" t="s">
        <v>12</v>
      </c>
      <c r="D9" s="7" t="n">
        <v>59847.27</v>
      </c>
      <c r="E9" s="7" t="n">
        <v>45793.78</v>
      </c>
      <c r="F9" s="8" t="n">
        <f aca="false">ROUND((E9-D9)/D9*100,2)</f>
        <v>-23.48</v>
      </c>
      <c r="G9" s="9" t="str">
        <f aca="false">IF(ABS(F9)&gt;$B$2,"flagged",IF(ABS(F9)&lt;$B$2,"not_flagged","escalate_exact_boundary"))</f>
        <v>flagged</v>
      </c>
    </row>
    <row r="10" customFormat="false" ht="15" hidden="false" customHeight="false" outlineLevel="0" collapsed="false">
      <c r="A10" s="6" t="s">
        <v>15</v>
      </c>
      <c r="B10" s="6" t="s">
        <v>12</v>
      </c>
      <c r="C10" s="6" t="s">
        <v>13</v>
      </c>
      <c r="D10" s="7" t="n">
        <v>45793.78</v>
      </c>
      <c r="E10" s="7" t="n">
        <v>56737.78</v>
      </c>
      <c r="F10" s="8" t="n">
        <f aca="false">ROUND((E10-D10)/D10*100,2)</f>
        <v>23.9</v>
      </c>
      <c r="G10" s="9" t="str">
        <f aca="false">IF(ABS(F10)&gt;$B$2,"flagged",IF(ABS(F10)&lt;$B$2,"not_flagged","escalate_exact_boundary"))</f>
        <v>flagged</v>
      </c>
    </row>
    <row r="11" customFormat="false" ht="15" hidden="false" customHeight="false" outlineLevel="0" collapsed="false">
      <c r="A11" s="6" t="s">
        <v>16</v>
      </c>
      <c r="B11" s="6" t="s">
        <v>11</v>
      </c>
      <c r="C11" s="6" t="s">
        <v>12</v>
      </c>
      <c r="D11" s="7" t="n">
        <v>100446.23</v>
      </c>
      <c r="E11" s="7" t="n">
        <v>91152.57</v>
      </c>
      <c r="F11" s="8" t="n">
        <f aca="false">ROUND((E11-D11)/D11*100,2)</f>
        <v>-9.25</v>
      </c>
      <c r="G11" s="9" t="str">
        <f aca="false">IF(ABS(F11)&gt;$B$2,"flagged",IF(ABS(F11)&lt;$B$2,"not_flagged","escalate_exact_boundary"))</f>
        <v>flagged</v>
      </c>
    </row>
    <row r="12" customFormat="false" ht="15" hidden="false" customHeight="false" outlineLevel="0" collapsed="false">
      <c r="A12" s="6" t="s">
        <v>16</v>
      </c>
      <c r="B12" s="6" t="s">
        <v>12</v>
      </c>
      <c r="C12" s="6" t="s">
        <v>13</v>
      </c>
      <c r="D12" s="7" t="n">
        <v>91152.57</v>
      </c>
      <c r="E12" s="7" t="n">
        <v>129971.22</v>
      </c>
      <c r="F12" s="8" t="n">
        <f aca="false">ROUND((E12-D12)/D12*100,2)</f>
        <v>42.59</v>
      </c>
      <c r="G12" s="9" t="str">
        <f aca="false">IF(ABS(F12)&gt;$B$2,"flagged",IF(ABS(F12)&lt;$B$2,"not_flagged","escalate_exact_boundary"))</f>
        <v>flagged</v>
      </c>
    </row>
    <row r="13" customFormat="false" ht="15" hidden="false" customHeight="false" outlineLevel="0" collapsed="false">
      <c r="A13" s="6" t="s">
        <v>17</v>
      </c>
      <c r="B13" s="6" t="s">
        <v>11</v>
      </c>
      <c r="C13" s="6" t="s">
        <v>12</v>
      </c>
      <c r="D13" s="7" t="n">
        <v>40737.01</v>
      </c>
      <c r="E13" s="7" t="n">
        <v>35542.11</v>
      </c>
      <c r="F13" s="8" t="n">
        <f aca="false">ROUND((E13-D13)/D13*100,2)</f>
        <v>-12.75</v>
      </c>
      <c r="G13" s="9" t="str">
        <f aca="false">IF(ABS(F13)&gt;$B$2,"flagged",IF(ABS(F13)&lt;$B$2,"not_flagged","escalate_exact_boundary"))</f>
        <v>flagged</v>
      </c>
    </row>
    <row r="14" customFormat="false" ht="15" hidden="false" customHeight="false" outlineLevel="0" collapsed="false">
      <c r="A14" s="6" t="s">
        <v>17</v>
      </c>
      <c r="B14" s="6" t="s">
        <v>12</v>
      </c>
      <c r="C14" s="6" t="s">
        <v>13</v>
      </c>
      <c r="D14" s="7" t="n">
        <v>35542.11</v>
      </c>
      <c r="E14" s="7" t="n">
        <v>37559.07</v>
      </c>
      <c r="F14" s="8" t="n">
        <f aca="false">ROUND((E14-D14)/D14*100,2)</f>
        <v>5.67</v>
      </c>
      <c r="G14" s="9" t="str">
        <f aca="false">IF(ABS(F14)&gt;$B$2,"flagged",IF(ABS(F14)&lt;$B$2,"not_flagged","escalate_exact_boundary"))</f>
        <v>not_flagged</v>
      </c>
    </row>
    <row r="16" customFormat="false" ht="1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10" t="s">
        <v>19</v>
      </c>
      <c r="B17" s="10" t="n">
        <f aca="false">COUNTIF($G$5:$G$14,"flagged")</f>
        <v>9</v>
      </c>
    </row>
    <row r="18" customFormat="false" ht="15" hidden="false" customHeight="false" outlineLevel="0" collapsed="false">
      <c r="A18" s="10" t="s">
        <v>20</v>
      </c>
      <c r="B18" s="10" t="n">
        <f aca="false">COUNTIF($G$5:$G$14,"not_flagged")</f>
        <v>1</v>
      </c>
    </row>
    <row r="19" customFormat="false" ht="15" hidden="false" customHeight="false" outlineLevel="0" collapsed="false">
      <c r="A19" s="10" t="s">
        <v>21</v>
      </c>
      <c r="B19" s="10" t="n">
        <f aca="false">COUNTIF($G$5:$G$14,"escalate_exact_boundary")</f>
        <v>0</v>
      </c>
    </row>
    <row r="21" customFormat="false" ht="15" hidden="false" customHeight="false" outlineLevel="0" collapsed="false">
      <c r="A21" s="4" t="s">
        <v>22</v>
      </c>
    </row>
    <row r="22" customFormat="false" ht="15" hidden="false" customHeight="false" outlineLevel="0" collapsed="false">
      <c r="A22" s="4" t="s">
        <v>23</v>
      </c>
    </row>
    <row r="23" customFormat="false" ht="15" hidden="false" customHeight="false" outlineLevel="0" collapsed="false">
      <c r="A23" s="4" t="s">
        <v>24</v>
      </c>
    </row>
  </sheetData>
  <conditionalFormatting sqref="A5:G14">
    <cfRule type="expression" priority="2" aboveAverage="0" equalAverage="0" bottom="0" percent="0" rank="0" text="" dxfId="0">
      <formula>$G5="flagged"</formula>
    </cfRule>
    <cfRule type="expression" priority="3" aboveAverage="0" equalAverage="0" bottom="0" percent="0" rank="0" text="" dxfId="1">
      <formula>$G5="escalate_exact_boundary"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11" t="s">
        <v>27</v>
      </c>
      <c r="B4" s="11" t="s">
        <v>28</v>
      </c>
      <c r="C4" s="11" t="s">
        <v>29</v>
      </c>
    </row>
    <row r="5" customFormat="false" ht="15" hidden="false" customHeight="false" outlineLevel="0" collapsed="false">
      <c r="A5" s="12" t="s">
        <v>30</v>
      </c>
      <c r="B5" s="12" t="s">
        <v>31</v>
      </c>
      <c r="C5" s="13" t="s">
        <v>32</v>
      </c>
    </row>
    <row r="6" customFormat="false" ht="15" hidden="false" customHeight="false" outlineLevel="0" collapsed="false">
      <c r="A6" s="12" t="s">
        <v>33</v>
      </c>
      <c r="B6" s="12" t="s">
        <v>34</v>
      </c>
      <c r="C6" s="13" t="s">
        <v>32</v>
      </c>
    </row>
    <row r="7" customFormat="false" ht="15" hidden="false" customHeight="false" outlineLevel="0" collapsed="false">
      <c r="A7" s="12" t="s">
        <v>35</v>
      </c>
      <c r="B7" s="12" t="s">
        <v>36</v>
      </c>
      <c r="C7" s="13" t="s">
        <v>32</v>
      </c>
    </row>
    <row r="8" customFormat="false" ht="15" hidden="false" customHeight="false" outlineLevel="0" collapsed="false">
      <c r="A8" s="12" t="s">
        <v>37</v>
      </c>
      <c r="B8" s="12" t="s">
        <v>38</v>
      </c>
      <c r="C8" s="13" t="s">
        <v>32</v>
      </c>
    </row>
    <row r="9" customFormat="false" ht="15" hidden="false" customHeight="false" outlineLevel="0" collapsed="false">
      <c r="A9" s="12" t="s">
        <v>39</v>
      </c>
      <c r="B9" s="12" t="s">
        <v>40</v>
      </c>
      <c r="C9" s="13" t="s">
        <v>32</v>
      </c>
    </row>
    <row r="10" customFormat="false" ht="15" hidden="false" customHeight="false" outlineLevel="0" collapsed="false">
      <c r="A10" s="12" t="s">
        <v>41</v>
      </c>
      <c r="B10" s="12" t="s">
        <v>42</v>
      </c>
      <c r="C10" s="13" t="s">
        <v>32</v>
      </c>
    </row>
    <row r="11" customFormat="false" ht="15" hidden="false" customHeight="false" outlineLevel="0" collapsed="false">
      <c r="A11" s="12" t="s">
        <v>43</v>
      </c>
      <c r="B11" s="12" t="s">
        <v>44</v>
      </c>
      <c r="C11" s="13" t="s">
        <v>32</v>
      </c>
    </row>
    <row r="12" customFormat="false" ht="15" hidden="false" customHeight="false" outlineLevel="0" collapsed="false">
      <c r="A12" s="12" t="s">
        <v>45</v>
      </c>
      <c r="B12" s="12" t="s">
        <v>46</v>
      </c>
      <c r="C12" s="13" t="s">
        <v>32</v>
      </c>
    </row>
    <row r="13" customFormat="false" ht="15" hidden="false" customHeight="false" outlineLevel="0" collapsed="false">
      <c r="A13" s="12" t="s">
        <v>47</v>
      </c>
      <c r="B13" s="12" t="s">
        <v>48</v>
      </c>
      <c r="C13" s="1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2026-10-02T13:00:15Z</dcterms:created>
  <dc:creator>openpyxl</dc:creator>
  <dc:description/>
  <dc:language>en-US</dc:language>
  <cp:lastModifiedBy/>
  <dcterms:modified xsi:type="dcterms:W3CDTF">2026-10-02T13:00:15Z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